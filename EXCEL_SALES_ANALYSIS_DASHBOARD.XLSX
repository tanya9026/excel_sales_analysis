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96A08D3-B99D-416A-A70B-C3F4F41291B4}" xr6:coauthVersionLast="47" xr6:coauthVersionMax="47" xr10:uidLastSave="{00000000-0000-0000-0000-000000000000}"/>
  <bookViews>
    <workbookView xWindow="-120" yWindow="-120" windowWidth="20730" windowHeight="11160" firstSheet="1" activeTab="5" xr2:uid="{00000000-000D-0000-FFFF-FFFF00000000}"/>
  </bookViews>
  <sheets>
    <sheet name="SALES BY REGION" sheetId="2" r:id="rId1"/>
    <sheet name="SALES BY PRODUCT" sheetId="3" r:id="rId2"/>
    <sheet name="SALES BY MONTH" sheetId="4" r:id="rId3"/>
    <sheet name="dashboardsales" sheetId="5" r:id="rId4"/>
    <sheet name="BUSINESS INSIGHTS" sheetId="6" r:id="rId5"/>
    <sheet name="Sales Data" sheetId="1" r:id="rId6"/>
  </sheets>
  <definedNames>
    <definedName name="_xlnm._FilterDatabase" localSheetId="5" hidden="1">'Sales Data'!$A$1:$K$25</definedName>
  </definedNames>
  <calcPr calcId="191029"/>
  <pivotCaches>
    <pivotCache cacheId="1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6" l="1"/>
  <c r="C2" i="6"/>
  <c r="E4" i="5"/>
  <c r="A4" i="5"/>
  <c r="C4" i="5"/>
</calcChain>
</file>

<file path=xl/sharedStrings.xml><?xml version="1.0" encoding="utf-8"?>
<sst xmlns="http://schemas.openxmlformats.org/spreadsheetml/2006/main" count="145" uniqueCount="45">
  <si>
    <t>Order Date</t>
  </si>
  <si>
    <t>Region</t>
  </si>
  <si>
    <t>Product</t>
  </si>
  <si>
    <t>Category</t>
  </si>
  <si>
    <t>Quantity</t>
  </si>
  <si>
    <t>Unit Price (₹)</t>
  </si>
  <si>
    <t>Unit Cost (₹)</t>
  </si>
  <si>
    <t>Sales (₹)</t>
  </si>
  <si>
    <t>Cost (₹)</t>
  </si>
  <si>
    <t>Profit (₹)</t>
  </si>
  <si>
    <t>Month</t>
  </si>
  <si>
    <t>North</t>
  </si>
  <si>
    <t>Laptop Stand</t>
  </si>
  <si>
    <t>Accessories</t>
  </si>
  <si>
    <t>Jan</t>
  </si>
  <si>
    <t>South</t>
  </si>
  <si>
    <t>Wireless Mouse</t>
  </si>
  <si>
    <t>East</t>
  </si>
  <si>
    <t>Keyboard</t>
  </si>
  <si>
    <t>West</t>
  </si>
  <si>
    <t>Monitor</t>
  </si>
  <si>
    <t>Electronics</t>
  </si>
  <si>
    <t>Feb</t>
  </si>
  <si>
    <t>Laptop</t>
  </si>
  <si>
    <t>Headphones</t>
  </si>
  <si>
    <t>Mar</t>
  </si>
  <si>
    <t>Apr</t>
  </si>
  <si>
    <t>May</t>
  </si>
  <si>
    <t>Jun</t>
  </si>
  <si>
    <t>Row Labels</t>
  </si>
  <si>
    <t>Grand Total</t>
  </si>
  <si>
    <t>Sum of Sales (₹)</t>
  </si>
  <si>
    <t>SALES PERFORMANCE DASHBOARD</t>
  </si>
  <si>
    <t>TOTAL SALES</t>
  </si>
  <si>
    <t>TOTAL PROFIT</t>
  </si>
  <si>
    <t>UNIT SOLD</t>
  </si>
  <si>
    <r>
      <rPr>
        <sz val="18"/>
        <color theme="1"/>
        <rFont val="Calibri"/>
        <family val="2"/>
        <scheme val="minor"/>
      </rPr>
      <t>BUSINESS INSIGHTS</t>
    </r>
    <r>
      <rPr>
        <sz val="11"/>
        <color theme="1"/>
        <rFont val="Calibri"/>
        <family val="2"/>
        <scheme val="minor"/>
      </rPr>
      <t xml:space="preserve"> </t>
    </r>
  </si>
  <si>
    <t xml:space="preserve">TOTAL SALES </t>
  </si>
  <si>
    <t>TOP PRODUCT</t>
  </si>
  <si>
    <t>BEST REGION</t>
  </si>
  <si>
    <t>BEST MONTH</t>
  </si>
  <si>
    <t>M</t>
  </si>
  <si>
    <t>APRIL</t>
  </si>
  <si>
    <t>WEST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</si>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</sst>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dd\-mmm\-yyyy"/>
    <numFmt numFmtId="167" formatCode="\₹#,##0"/>
    <numFmt numFmtId="170" formatCode="&quot;₹&quot;\ #,##0.00;[Red]&quot;₹&quot;\ #,##0.00"/>
    <numFmt numFmtId="171" formatCode="&quot;₹&quot;\ #,##0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u val="double"/>
      <sz val="2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167" fontId="0" fillId="0" borderId="0" xfId="0" applyNumberForma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5" fillId="3" borderId="1" xfId="0" applyFont="1" applyFill="1" applyBorder="1"/>
    <xf numFmtId="170" fontId="0" fillId="0" borderId="0" xfId="0" applyNumberFormat="1"/>
    <xf numFmtId="171" fontId="5" fillId="3" borderId="3" xfId="0" applyNumberFormat="1" applyFont="1" applyFill="1" applyBorder="1"/>
    <xf numFmtId="0" fontId="4" fillId="5" borderId="4" xfId="0" applyFont="1" applyFill="1" applyBorder="1"/>
    <xf numFmtId="0" fontId="0" fillId="6" borderId="0" xfId="0" applyFill="1"/>
    <xf numFmtId="0" fontId="6" fillId="4" borderId="4" xfId="0" applyFont="1" applyFill="1" applyBorder="1"/>
    <xf numFmtId="0" fontId="7" fillId="4" borderId="3" xfId="0" applyFont="1" applyFill="1" applyBorder="1"/>
    <xf numFmtId="171" fontId="4" fillId="5" borderId="3" xfId="0" applyNumberFormat="1" applyFont="1" applyFill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[EXCEL_SALES_ANALYSIS_DASHBOARD.XLSX]SALES BY MONTH!PivotTable3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'SALES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'SALES BY MONTH'!$A$4:$A$10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'SALES BY MONTH'!$B$4:$B$10</c:f>
              <c:numCache>
                <c:formatCode>General</c:formatCode>
                <c:ptCount val="6"/>
                <c:pt idx="0">
                  <c:v>45900</c:v>
                </c:pt>
                <c:pt idx="1">
                  <c:v>113100</c:v>
                </c:pt>
                <c:pt idx="2">
                  <c:v>93400</c:v>
                </c:pt>
                <c:pt idx="3">
                  <c:v>127600</c:v>
                </c:pt>
                <c:pt idx="4">
                  <c:v>54200</c:v>
                </c:pt>
                <c:pt idx="5">
                  <c:v>84900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76-4C49-AF89-8BED41669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6015552"/>
        <c:axId val="1936033856"/>
      </c:lineChart>
      <c:catAx>
        <c:axId val="193601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033856"/>
        <c:crosses val="autoZero"/>
        <c:auto val="1"/>
        <c:lblAlgn val="ctr"/>
        <c:lblOffset val="100"/>
        <c:noMultiLvlLbl val="0"/>
      </c:catAx>
      <c:valAx>
        <c:axId val="193603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0155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[EXCEL_SALES_ANALYSIS_DASHBOARD.XLSX]SALES BY REGION!PivotTable1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113800</c:v>
                </c:pt>
                <c:pt idx="1">
                  <c:v>117000</c:v>
                </c:pt>
                <c:pt idx="2">
                  <c:v>137500</c:v>
                </c:pt>
                <c:pt idx="3">
                  <c:v>150800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E9-43D9-BD9C-9B1030A3B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6029696"/>
        <c:axId val="1936018048"/>
      </c:barChart>
      <c:catAx>
        <c:axId val="193602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018048"/>
        <c:crosses val="autoZero"/>
        <c:auto val="1"/>
        <c:lblAlgn val="ctr"/>
        <c:lblOffset val="100"/>
        <c:noMultiLvlLbl val="0"/>
      </c:catAx>
      <c:valAx>
        <c:axId val="193601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0296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[EXCEL_SALES_ANALYSIS_DASHBOARD.XLSX]SALES BY PRODUCT!PivotTable2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PRODUCT'!$A$4:$A$10</c:f>
              <c:strCache>
                <c:ptCount val="6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Laptop Stand</c:v>
                </c:pt>
                <c:pt idx="4">
                  <c:v>Monitor</c:v>
                </c:pt>
                <c:pt idx="5">
                  <c:v>Wireless Mouse</c:v>
                </c:pt>
              </c:strCache>
            </c:strRef>
          </c:cat>
          <c:val>
            <c:numRef>
              <c:f>'SALES BY PRODUCT'!$B$4:$B$10</c:f>
              <c:numCache>
                <c:formatCode>General</c:formatCode>
                <c:ptCount val="6"/>
                <c:pt idx="0">
                  <c:v>65000</c:v>
                </c:pt>
                <c:pt idx="1">
                  <c:v>24300</c:v>
                </c:pt>
                <c:pt idx="2">
                  <c:v>252000</c:v>
                </c:pt>
                <c:pt idx="3">
                  <c:v>21600</c:v>
                </c:pt>
                <c:pt idx="4">
                  <c:v>119000</c:v>
                </c:pt>
                <c:pt idx="5">
                  <c:v>37200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CA-44CD-9652-CDCF0F7BC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2100832"/>
        <c:axId val="1932101248"/>
      </c:barChart>
      <c:catAx>
        <c:axId val="1932100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101248"/>
        <c:crosses val="autoZero"/>
        <c:auto val="1"/>
        <c:lblAlgn val="ctr"/>
        <c:lblOffset val="100"/>
        <c:noMultiLvlLbl val="0"/>
      </c:catAx>
      <c:valAx>
        <c:axId val="1932101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100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</xdr:row>
      <xdr:rowOff>123825</xdr:rowOff>
    </xdr:from>
    <xdr:to>
      <xdr:col>4</xdr:col>
      <xdr:colOff>490538</xdr:colOff>
      <xdr:row>18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3A108A-937E-4C17-93DE-B7B08E1ED2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523875</xdr:colOff>
      <xdr:row>4</xdr:row>
      <xdr:rowOff>123825</xdr:rowOff>
    </xdr:from>
    <xdr:to>
      <xdr:col>10</xdr:col>
      <xdr:colOff>481013</xdr:colOff>
      <xdr:row>18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433B9A-E61C-421F-B920-3DA5F35CCB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4</xdr:row>
      <xdr:rowOff>142875</xdr:rowOff>
    </xdr:from>
    <xdr:to>
      <xdr:col>17</xdr:col>
      <xdr:colOff>395288</xdr:colOff>
      <xdr:row>18</xdr:row>
      <xdr:rowOff>9524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B409C4-E9B6-414B-8954-8223A4B9D5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10.537702430556" createdVersion="8" refreshedVersion="8" minRefreshableVersion="3" recordCount="24" xr:uid="{70680352-69F3-4ECD-A4C2-197E038F1876}">
  <cacheSource type="worksheet">
    <worksheetSource ref="A1:K25" sheet="Sales Data"/>
  </cacheSource>
  <cacheFields count="11">
    <cacheField name="Order Date" numFmtId="166">
      <sharedItems containsSemiMixedTypes="0" containsNonDate="0" containsDate="1" containsString="0" minDate="2026-01-05T00:00:00" maxDate="2026-06-24T00:00:00"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6">
        <s v="Laptop Stand"/>
        <s v="Wireless Mouse"/>
        <s v="Keyboard"/>
        <s v="Monitor"/>
        <s v="Laptop"/>
        <s v="Headphones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15"/>
    </cacheField>
    <cacheField name="Unit Price (₹)" numFmtId="167">
      <sharedItems containsSemiMixedTypes="0" containsString="0" containsNumber="1" containsInteger="1" minValue="600" maxValue="42000"/>
    </cacheField>
    <cacheField name="Unit Cost (₹)" numFmtId="167">
      <sharedItems containsSemiMixedTypes="0" containsString="0" containsNumber="1" containsInteger="1" minValue="320" maxValue="34000"/>
    </cacheField>
    <cacheField name="Sales (₹)" numFmtId="167">
      <sharedItems containsSemiMixedTypes="0" containsString="0" containsNumber="1" containsInteger="1" minValue="6000" maxValue="84000"/>
    </cacheField>
    <cacheField name="Cost (₹)" numFmtId="167">
      <sharedItems containsSemiMixedTypes="0" containsString="0" containsNumber="1" containsInteger="1" minValue="3200" maxValue="68000"/>
    </cacheField>
    <cacheField name="Profit (₹)" numFmtId="167">
      <sharedItems containsSemiMixedTypes="0" containsString="0" containsNumber="1" containsInteger="1" minValue="2500" maxValue="16000"/>
    </cacheField>
    <cacheField name="Month" numFmtId="0">
      <sharedItems count="6">
        <s v="Jan"/>
        <s v="Feb"/>
        <s v="Mar"/>
        <s v="Apr"/>
        <s v="May"/>
        <s v="Ju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d v="2026-01-05T00:00:00"/>
    <x v="0"/>
    <x v="0"/>
    <s v="Accessories"/>
    <n v="5"/>
    <n v="1200"/>
    <n v="700"/>
    <n v="6000"/>
    <n v="3500"/>
    <n v="2500"/>
    <x v="0"/>
  </r>
  <r>
    <d v="2026-01-08T00:00:00"/>
    <x v="1"/>
    <x v="1"/>
    <s v="Accessories"/>
    <n v="12"/>
    <n v="600"/>
    <n v="320"/>
    <n v="7200"/>
    <n v="3840"/>
    <n v="3360"/>
    <x v="0"/>
  </r>
  <r>
    <d v="2026-01-12T00:00:00"/>
    <x v="2"/>
    <x v="2"/>
    <s v="Accessories"/>
    <n v="8"/>
    <n v="900"/>
    <n v="500"/>
    <n v="7200"/>
    <n v="4000"/>
    <n v="3200"/>
    <x v="0"/>
  </r>
  <r>
    <d v="2026-01-18T00:00:00"/>
    <x v="3"/>
    <x v="3"/>
    <s v="Electronics"/>
    <n v="3"/>
    <n v="8500"/>
    <n v="6200"/>
    <n v="25500"/>
    <n v="18600"/>
    <n v="6900"/>
    <x v="0"/>
  </r>
  <r>
    <d v="2026-02-03T00:00:00"/>
    <x v="0"/>
    <x v="1"/>
    <s v="Accessories"/>
    <n v="10"/>
    <n v="600"/>
    <n v="320"/>
    <n v="6000"/>
    <n v="3200"/>
    <n v="2800"/>
    <x v="1"/>
  </r>
  <r>
    <d v="2026-02-07T00:00:00"/>
    <x v="1"/>
    <x v="4"/>
    <s v="Electronics"/>
    <n v="2"/>
    <n v="42000"/>
    <n v="34000"/>
    <n v="84000"/>
    <n v="68000"/>
    <n v="16000"/>
    <x v="1"/>
  </r>
  <r>
    <d v="2026-02-14T00:00:00"/>
    <x v="2"/>
    <x v="5"/>
    <s v="Electronics"/>
    <n v="6"/>
    <n v="2500"/>
    <n v="1500"/>
    <n v="15000"/>
    <n v="9000"/>
    <n v="6000"/>
    <x v="1"/>
  </r>
  <r>
    <d v="2026-02-21T00:00:00"/>
    <x v="3"/>
    <x v="2"/>
    <s v="Accessories"/>
    <n v="9"/>
    <n v="900"/>
    <n v="500"/>
    <n v="8100"/>
    <n v="4500"/>
    <n v="3600"/>
    <x v="1"/>
  </r>
  <r>
    <d v="2026-03-02T00:00:00"/>
    <x v="0"/>
    <x v="3"/>
    <s v="Electronics"/>
    <n v="4"/>
    <n v="8500"/>
    <n v="6200"/>
    <n v="34000"/>
    <n v="24800"/>
    <n v="9200"/>
    <x v="2"/>
  </r>
  <r>
    <d v="2026-03-09T00:00:00"/>
    <x v="1"/>
    <x v="0"/>
    <s v="Accessories"/>
    <n v="7"/>
    <n v="1200"/>
    <n v="700"/>
    <n v="8400"/>
    <n v="4900"/>
    <n v="3500"/>
    <x v="2"/>
  </r>
  <r>
    <d v="2026-03-15T00:00:00"/>
    <x v="2"/>
    <x v="4"/>
    <s v="Electronics"/>
    <n v="1"/>
    <n v="42000"/>
    <n v="34000"/>
    <n v="42000"/>
    <n v="34000"/>
    <n v="8000"/>
    <x v="2"/>
  </r>
  <r>
    <d v="2026-03-22T00:00:00"/>
    <x v="3"/>
    <x v="1"/>
    <s v="Accessories"/>
    <n v="15"/>
    <n v="600"/>
    <n v="320"/>
    <n v="9000"/>
    <n v="4800"/>
    <n v="4200"/>
    <x v="2"/>
  </r>
  <r>
    <d v="2026-04-04T00:00:00"/>
    <x v="0"/>
    <x v="5"/>
    <s v="Electronics"/>
    <n v="8"/>
    <n v="2500"/>
    <n v="1500"/>
    <n v="20000"/>
    <n v="12000"/>
    <n v="8000"/>
    <x v="3"/>
  </r>
  <r>
    <d v="2026-04-10T00:00:00"/>
    <x v="1"/>
    <x v="3"/>
    <s v="Electronics"/>
    <n v="2"/>
    <n v="8500"/>
    <n v="6200"/>
    <n v="17000"/>
    <n v="12400"/>
    <n v="4600"/>
    <x v="3"/>
  </r>
  <r>
    <d v="2026-04-16T00:00:00"/>
    <x v="2"/>
    <x v="1"/>
    <s v="Accessories"/>
    <n v="11"/>
    <n v="600"/>
    <n v="320"/>
    <n v="6600"/>
    <n v="3520"/>
    <n v="3080"/>
    <x v="3"/>
  </r>
  <r>
    <d v="2026-04-24T00:00:00"/>
    <x v="3"/>
    <x v="4"/>
    <s v="Electronics"/>
    <n v="2"/>
    <n v="42000"/>
    <n v="34000"/>
    <n v="84000"/>
    <n v="68000"/>
    <n v="16000"/>
    <x v="3"/>
  </r>
  <r>
    <d v="2026-05-03T00:00:00"/>
    <x v="0"/>
    <x v="2"/>
    <s v="Accessories"/>
    <n v="10"/>
    <n v="900"/>
    <n v="500"/>
    <n v="9000"/>
    <n v="5000"/>
    <n v="4000"/>
    <x v="4"/>
  </r>
  <r>
    <d v="2026-05-11T00:00:00"/>
    <x v="1"/>
    <x v="5"/>
    <s v="Electronics"/>
    <n v="5"/>
    <n v="2500"/>
    <n v="1500"/>
    <n v="12500"/>
    <n v="7500"/>
    <n v="5000"/>
    <x v="4"/>
  </r>
  <r>
    <d v="2026-05-17T00:00:00"/>
    <x v="2"/>
    <x v="3"/>
    <s v="Electronics"/>
    <n v="3"/>
    <n v="8500"/>
    <n v="6200"/>
    <n v="25500"/>
    <n v="18600"/>
    <n v="6900"/>
    <x v="4"/>
  </r>
  <r>
    <d v="2026-05-25T00:00:00"/>
    <x v="3"/>
    <x v="0"/>
    <s v="Accessories"/>
    <n v="6"/>
    <n v="1200"/>
    <n v="700"/>
    <n v="7200"/>
    <n v="4200"/>
    <n v="3000"/>
    <x v="4"/>
  </r>
  <r>
    <d v="2026-06-02T00:00:00"/>
    <x v="0"/>
    <x v="4"/>
    <s v="Electronics"/>
    <n v="1"/>
    <n v="42000"/>
    <n v="34000"/>
    <n v="42000"/>
    <n v="34000"/>
    <n v="8000"/>
    <x v="5"/>
  </r>
  <r>
    <d v="2026-06-09T00:00:00"/>
    <x v="1"/>
    <x v="1"/>
    <s v="Accessories"/>
    <n v="14"/>
    <n v="600"/>
    <n v="320"/>
    <n v="8400"/>
    <n v="4480"/>
    <n v="3920"/>
    <x v="5"/>
  </r>
  <r>
    <d v="2026-06-15T00:00:00"/>
    <x v="2"/>
    <x v="5"/>
    <s v="Electronics"/>
    <n v="7"/>
    <n v="2500"/>
    <n v="1500"/>
    <n v="17500"/>
    <n v="10500"/>
    <n v="7000"/>
    <x v="5"/>
  </r>
  <r>
    <d v="2026-06-23T00:00:00"/>
    <x v="3"/>
    <x v="3"/>
    <s v="Electronics"/>
    <n v="2"/>
    <n v="8500"/>
    <n v="6200"/>
    <n v="17000"/>
    <n v="12400"/>
    <n v="460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7A4BC2-ADFF-4C31-B8F1-8C0763AAB189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B8" firstHeaderRow="1" firstDataRow="1" firstDataCol="1"/>
  <pivotFields count="11">
    <pivotField numFmtId="166"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numFmtId="167" showAll="0"/>
    <pivotField numFmtId="167" showAll="0"/>
    <pivotField dataField="1" numFmtId="167" showAll="0"/>
    <pivotField numFmtId="167" showAll="0"/>
    <pivotField numFmtId="167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(₹)" fld="7" baseField="0" baseItem="0"/>
  </dataFields>
  <chartFormats count="2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43D6C9-770B-442D-9518-81D3053C672B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3:B10" firstHeaderRow="1" firstDataRow="1" firstDataCol="1"/>
  <pivotFields count="11">
    <pivotField numFmtId="166" showAll="0"/>
    <pivotField showAll="0"/>
    <pivotField axis="axisRow" showAll="0">
      <items count="7">
        <item x="5"/>
        <item x="2"/>
        <item x="4"/>
        <item x="0"/>
        <item x="3"/>
        <item x="1"/>
        <item t="default"/>
      </items>
    </pivotField>
    <pivotField showAll="0"/>
    <pivotField showAll="0"/>
    <pivotField numFmtId="167" showAll="0"/>
    <pivotField numFmtId="167" showAll="0"/>
    <pivotField dataField="1" numFmtId="167" showAll="0"/>
    <pivotField numFmtId="167" showAll="0"/>
    <pivotField numFmtId="167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 (₹)" fld="7" baseField="2" baseItem="0"/>
  </dataFields>
  <chartFormats count="5"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42465A-8002-4808-AB6C-1D13EA966D2F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M">
  <location ref="A3:B10" firstHeaderRow="1" firstDataRow="1" firstDataCol="1"/>
  <pivotFields count="11">
    <pivotField numFmtId="166" showAll="0"/>
    <pivotField showAll="0"/>
    <pivotField showAll="0"/>
    <pivotField showAll="0"/>
    <pivotField showAll="0"/>
    <pivotField numFmtId="167" showAll="0"/>
    <pivotField numFmtId="167" showAll="0"/>
    <pivotField dataField="1" numFmtId="167" showAll="0"/>
    <pivotField numFmtId="167" showAll="0"/>
    <pivotField numFmtId="167"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 (₹)" fld="7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36B10-BA34-4C72-AF1D-DBE4796E681E}">
  <dimension ref="A3:B8"/>
  <sheetViews>
    <sheetView workbookViewId="0">
      <selection activeCell="B3" sqref="B3"/>
    </sheetView>
  </sheetViews>
  <sheetFormatPr defaultRowHeight="15" x14ac:dyDescent="0.25"/>
  <cols>
    <col min="1" max="1" width="13.140625" bestFit="1" customWidth="1"/>
    <col min="2" max="2" width="15.28515625" bestFit="1" customWidth="1"/>
  </cols>
  <sheetData>
    <row r="3" spans="1:2" x14ac:dyDescent="0.25">
      <c r="A3" s="7" t="s">
        <v>29</v>
      </c>
      <c r="B3" t="s">
        <v>31</v>
      </c>
    </row>
    <row r="4" spans="1:2" x14ac:dyDescent="0.25">
      <c r="A4" s="8" t="s">
        <v>17</v>
      </c>
      <c r="B4" s="9">
        <v>113800</v>
      </c>
    </row>
    <row r="5" spans="1:2" x14ac:dyDescent="0.25">
      <c r="A5" s="8" t="s">
        <v>11</v>
      </c>
      <c r="B5" s="9">
        <v>117000</v>
      </c>
    </row>
    <row r="6" spans="1:2" x14ac:dyDescent="0.25">
      <c r="A6" s="8" t="s">
        <v>15</v>
      </c>
      <c r="B6" s="9">
        <v>137500</v>
      </c>
    </row>
    <row r="7" spans="1:2" x14ac:dyDescent="0.25">
      <c r="A7" s="8" t="s">
        <v>19</v>
      </c>
      <c r="B7" s="9">
        <v>150800</v>
      </c>
    </row>
    <row r="8" spans="1:2" x14ac:dyDescent="0.25">
      <c r="A8" s="8" t="s">
        <v>30</v>
      </c>
      <c r="B8" s="9">
        <v>519100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7242-A937-435C-8DFB-08857361CB9C}">
  <dimension ref="A3:B10"/>
  <sheetViews>
    <sheetView workbookViewId="0">
      <selection activeCell="A3" sqref="A3"/>
    </sheetView>
  </sheetViews>
  <sheetFormatPr defaultRowHeight="15" x14ac:dyDescent="0.25"/>
  <cols>
    <col min="1" max="2" width="15.28515625" bestFit="1" customWidth="1"/>
  </cols>
  <sheetData>
    <row r="3" spans="1:2" x14ac:dyDescent="0.25">
      <c r="A3" s="7" t="s">
        <v>29</v>
      </c>
      <c r="B3" t="s">
        <v>31</v>
      </c>
    </row>
    <row r="4" spans="1:2" x14ac:dyDescent="0.25">
      <c r="A4" s="8" t="s">
        <v>24</v>
      </c>
      <c r="B4" s="9">
        <v>65000</v>
      </c>
    </row>
    <row r="5" spans="1:2" x14ac:dyDescent="0.25">
      <c r="A5" s="8" t="s">
        <v>18</v>
      </c>
      <c r="B5" s="9">
        <v>24300</v>
      </c>
    </row>
    <row r="6" spans="1:2" x14ac:dyDescent="0.25">
      <c r="A6" s="8" t="s">
        <v>23</v>
      </c>
      <c r="B6" s="9">
        <v>252000</v>
      </c>
    </row>
    <row r="7" spans="1:2" x14ac:dyDescent="0.25">
      <c r="A7" s="8" t="s">
        <v>12</v>
      </c>
      <c r="B7" s="9">
        <v>21600</v>
      </c>
    </row>
    <row r="8" spans="1:2" x14ac:dyDescent="0.25">
      <c r="A8" s="8" t="s">
        <v>20</v>
      </c>
      <c r="B8" s="9">
        <v>119000</v>
      </c>
    </row>
    <row r="9" spans="1:2" x14ac:dyDescent="0.25">
      <c r="A9" s="8" t="s">
        <v>16</v>
      </c>
      <c r="B9" s="9">
        <v>37200</v>
      </c>
    </row>
    <row r="10" spans="1:2" x14ac:dyDescent="0.25">
      <c r="A10" s="8" t="s">
        <v>30</v>
      </c>
      <c r="B10" s="9">
        <v>519100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593F3-B5FC-4C9C-B39D-F24B2637B0D1}">
  <dimension ref="A3:B10"/>
  <sheetViews>
    <sheetView workbookViewId="0">
      <selection activeCell="A3" sqref="A3"/>
    </sheetView>
  </sheetViews>
  <sheetFormatPr defaultRowHeight="15" x14ac:dyDescent="0.25"/>
  <cols>
    <col min="1" max="1" width="11.28515625" bestFit="1" customWidth="1"/>
    <col min="2" max="2" width="15.28515625" bestFit="1" customWidth="1"/>
  </cols>
  <sheetData>
    <row r="3" spans="1:2" x14ac:dyDescent="0.25">
      <c r="A3" s="7" t="s">
        <v>41</v>
      </c>
      <c r="B3" t="s">
        <v>31</v>
      </c>
    </row>
    <row r="4" spans="1:2" x14ac:dyDescent="0.25">
      <c r="A4" s="8" t="s">
        <v>14</v>
      </c>
      <c r="B4" s="9">
        <v>45900</v>
      </c>
    </row>
    <row r="5" spans="1:2" x14ac:dyDescent="0.25">
      <c r="A5" s="8" t="s">
        <v>22</v>
      </c>
      <c r="B5" s="9">
        <v>113100</v>
      </c>
    </row>
    <row r="6" spans="1:2" x14ac:dyDescent="0.25">
      <c r="A6" s="8" t="s">
        <v>25</v>
      </c>
      <c r="B6" s="9">
        <v>93400</v>
      </c>
    </row>
    <row r="7" spans="1:2" x14ac:dyDescent="0.25">
      <c r="A7" s="8" t="s">
        <v>26</v>
      </c>
      <c r="B7" s="9">
        <v>127600</v>
      </c>
    </row>
    <row r="8" spans="1:2" x14ac:dyDescent="0.25">
      <c r="A8" s="8" t="s">
        <v>27</v>
      </c>
      <c r="B8" s="9">
        <v>54200</v>
      </c>
    </row>
    <row r="9" spans="1:2" x14ac:dyDescent="0.25">
      <c r="A9" s="8" t="s">
        <v>28</v>
      </c>
      <c r="B9" s="9">
        <v>84900</v>
      </c>
    </row>
    <row r="10" spans="1:2" x14ac:dyDescent="0.25">
      <c r="A10" s="8" t="s">
        <v>30</v>
      </c>
      <c r="B10" s="9">
        <v>519100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ED6A0-DEE8-45FB-8F71-5C555A34F6FC}">
  <dimension ref="A1:F17"/>
  <sheetViews>
    <sheetView showGridLines="0" workbookViewId="0">
      <selection activeCell="L3" sqref="L3"/>
    </sheetView>
  </sheetViews>
  <sheetFormatPr defaultRowHeight="15" x14ac:dyDescent="0.25"/>
  <cols>
    <col min="1" max="1" width="19.85546875" customWidth="1"/>
    <col min="2" max="2" width="9" customWidth="1"/>
    <col min="3" max="3" width="18" customWidth="1"/>
    <col min="5" max="5" width="15.85546875" customWidth="1"/>
  </cols>
  <sheetData>
    <row r="1" spans="1:6" ht="31.5" x14ac:dyDescent="0.5">
      <c r="A1" s="10"/>
      <c r="B1" s="10"/>
      <c r="C1" s="10"/>
      <c r="D1" s="10"/>
      <c r="F1" s="19" t="s">
        <v>32</v>
      </c>
    </row>
    <row r="3" spans="1:6" ht="23.25" x14ac:dyDescent="0.35">
      <c r="A3" s="11" t="s">
        <v>33</v>
      </c>
      <c r="B3" s="15"/>
      <c r="C3" s="14" t="s">
        <v>34</v>
      </c>
      <c r="D3" s="15"/>
      <c r="E3" s="16" t="s">
        <v>35</v>
      </c>
      <c r="F3" s="15"/>
    </row>
    <row r="4" spans="1:6" ht="23.25" x14ac:dyDescent="0.35">
      <c r="A4" s="13">
        <f>SUM('Sales Data'!H2:H25)</f>
        <v>519100</v>
      </c>
      <c r="C4" s="18">
        <f>SUM('Sales Data'!J2:J25)</f>
        <v>143360</v>
      </c>
      <c r="E4" s="17">
        <f>SUM('Sales Data'!E2:E25)</f>
        <v>153</v>
      </c>
    </row>
    <row r="17" spans="2:2" x14ac:dyDescent="0.25">
      <c r="B17" s="12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0315-D427-4E9F-97DB-F19A87C44EAF}">
  <dimension ref="A1:C6"/>
  <sheetViews>
    <sheetView workbookViewId="0">
      <selection activeCell="D6" sqref="D6"/>
    </sheetView>
  </sheetViews>
  <sheetFormatPr defaultRowHeight="15" x14ac:dyDescent="0.25"/>
  <cols>
    <col min="3" max="3" width="9.140625" style="3"/>
  </cols>
  <sheetData>
    <row r="1" spans="1:3" ht="23.25" x14ac:dyDescent="0.35">
      <c r="A1" t="s">
        <v>36</v>
      </c>
    </row>
    <row r="2" spans="1:3" x14ac:dyDescent="0.25">
      <c r="A2" t="s">
        <v>37</v>
      </c>
      <c r="C2" s="3">
        <f>SUM('Sales Data'!H2:H25)</f>
        <v>519100</v>
      </c>
    </row>
    <row r="3" spans="1:3" x14ac:dyDescent="0.25">
      <c r="A3" t="s">
        <v>34</v>
      </c>
      <c r="C3" s="3">
        <f>SUM('Sales Data'!J2:J25)</f>
        <v>143360</v>
      </c>
    </row>
    <row r="4" spans="1:3" x14ac:dyDescent="0.25">
      <c r="A4" t="s">
        <v>38</v>
      </c>
      <c r="C4" s="3" t="s">
        <v>44</v>
      </c>
    </row>
    <row r="5" spans="1:3" x14ac:dyDescent="0.25">
      <c r="A5" t="s">
        <v>39</v>
      </c>
      <c r="C5" s="3" t="s">
        <v>43</v>
      </c>
    </row>
    <row r="6" spans="1:3" x14ac:dyDescent="0.25">
      <c r="A6" t="s">
        <v>40</v>
      </c>
      <c r="C6" s="3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pane ySplit="1" topLeftCell="A2" activePane="bottomLeft" state="frozen"/>
      <selection pane="bottomLeft" activeCell="M7" sqref="M7"/>
    </sheetView>
  </sheetViews>
  <sheetFormatPr defaultRowHeight="15" x14ac:dyDescent="0.25"/>
  <cols>
    <col min="1" max="1" width="22" style="3" customWidth="1"/>
    <col min="2" max="2" width="13.28515625" style="3" customWidth="1"/>
    <col min="3" max="3" width="17" style="3" customWidth="1"/>
    <col min="4" max="4" width="14" style="3" customWidth="1"/>
    <col min="5" max="5" width="11" style="3" customWidth="1"/>
    <col min="6" max="6" width="17" style="3" customWidth="1"/>
    <col min="7" max="7" width="16" style="3" customWidth="1"/>
    <col min="8" max="8" width="12" style="3" customWidth="1"/>
    <col min="9" max="9" width="11.5703125" style="3" customWidth="1"/>
    <col min="10" max="10" width="13.42578125" style="3" customWidth="1"/>
    <col min="11" max="11" width="13.5703125" style="3" customWidth="1"/>
    <col min="12" max="12" width="14.1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/>
      <c r="M1" s="6"/>
    </row>
    <row r="2" spans="1:13" x14ac:dyDescent="0.25">
      <c r="A2" s="5">
        <v>46027</v>
      </c>
      <c r="B2" s="3" t="s">
        <v>11</v>
      </c>
      <c r="C2" s="3" t="s">
        <v>12</v>
      </c>
      <c r="D2" s="3" t="s">
        <v>13</v>
      </c>
      <c r="E2" s="3">
        <v>5</v>
      </c>
      <c r="F2" s="4">
        <v>1200</v>
      </c>
      <c r="G2" s="4">
        <v>700</v>
      </c>
      <c r="H2" s="4">
        <v>6000</v>
      </c>
      <c r="I2" s="4">
        <v>3500</v>
      </c>
      <c r="J2" s="4">
        <v>2500</v>
      </c>
      <c r="K2" s="3" t="s">
        <v>14</v>
      </c>
      <c r="L2" s="2"/>
      <c r="M2" s="2"/>
    </row>
    <row r="3" spans="1:13" x14ac:dyDescent="0.25">
      <c r="A3" s="5">
        <v>46030</v>
      </c>
      <c r="B3" s="3" t="s">
        <v>15</v>
      </c>
      <c r="C3" s="3" t="s">
        <v>16</v>
      </c>
      <c r="D3" s="3" t="s">
        <v>13</v>
      </c>
      <c r="E3" s="3">
        <v>12</v>
      </c>
      <c r="F3" s="4">
        <v>600</v>
      </c>
      <c r="G3" s="4">
        <v>320</v>
      </c>
      <c r="H3" s="4">
        <v>7200</v>
      </c>
      <c r="I3" s="4">
        <v>3840</v>
      </c>
      <c r="J3" s="4">
        <v>3360</v>
      </c>
      <c r="K3" s="3" t="s">
        <v>14</v>
      </c>
    </row>
    <row r="4" spans="1:13" x14ac:dyDescent="0.25">
      <c r="A4" s="5">
        <v>46034</v>
      </c>
      <c r="B4" s="3" t="s">
        <v>17</v>
      </c>
      <c r="C4" s="3" t="s">
        <v>18</v>
      </c>
      <c r="D4" s="3" t="s">
        <v>13</v>
      </c>
      <c r="E4" s="3">
        <v>8</v>
      </c>
      <c r="F4" s="4">
        <v>900</v>
      </c>
      <c r="G4" s="4">
        <v>500</v>
      </c>
      <c r="H4" s="4">
        <v>7200</v>
      </c>
      <c r="I4" s="4">
        <v>4000</v>
      </c>
      <c r="J4" s="4">
        <v>3200</v>
      </c>
      <c r="K4" s="3" t="s">
        <v>14</v>
      </c>
    </row>
    <row r="5" spans="1:13" x14ac:dyDescent="0.25">
      <c r="A5" s="5">
        <v>46040</v>
      </c>
      <c r="B5" s="3" t="s">
        <v>19</v>
      </c>
      <c r="C5" s="3" t="s">
        <v>20</v>
      </c>
      <c r="D5" s="3" t="s">
        <v>21</v>
      </c>
      <c r="E5" s="3">
        <v>3</v>
      </c>
      <c r="F5" s="4">
        <v>8500</v>
      </c>
      <c r="G5" s="4">
        <v>6200</v>
      </c>
      <c r="H5" s="4">
        <v>25500</v>
      </c>
      <c r="I5" s="4">
        <v>18600</v>
      </c>
      <c r="J5" s="4">
        <v>6900</v>
      </c>
      <c r="K5" s="3" t="s">
        <v>14</v>
      </c>
    </row>
    <row r="6" spans="1:13" x14ac:dyDescent="0.25">
      <c r="A6" s="5">
        <v>46056</v>
      </c>
      <c r="B6" s="3" t="s">
        <v>11</v>
      </c>
      <c r="C6" s="3" t="s">
        <v>16</v>
      </c>
      <c r="D6" s="3" t="s">
        <v>13</v>
      </c>
      <c r="E6" s="3">
        <v>10</v>
      </c>
      <c r="F6" s="4">
        <v>600</v>
      </c>
      <c r="G6" s="4">
        <v>320</v>
      </c>
      <c r="H6" s="4">
        <v>6000</v>
      </c>
      <c r="I6" s="4">
        <v>3200</v>
      </c>
      <c r="J6" s="4">
        <v>2800</v>
      </c>
      <c r="K6" s="3" t="s">
        <v>22</v>
      </c>
    </row>
    <row r="7" spans="1:13" x14ac:dyDescent="0.25">
      <c r="A7" s="5">
        <v>46060</v>
      </c>
      <c r="B7" s="3" t="s">
        <v>15</v>
      </c>
      <c r="C7" s="3" t="s">
        <v>23</v>
      </c>
      <c r="D7" s="3" t="s">
        <v>21</v>
      </c>
      <c r="E7" s="3">
        <v>2</v>
      </c>
      <c r="F7" s="4">
        <v>42000</v>
      </c>
      <c r="G7" s="4">
        <v>34000</v>
      </c>
      <c r="H7" s="4">
        <v>84000</v>
      </c>
      <c r="I7" s="4">
        <v>68000</v>
      </c>
      <c r="J7" s="4">
        <v>16000</v>
      </c>
      <c r="K7" s="3" t="s">
        <v>22</v>
      </c>
    </row>
    <row r="8" spans="1:13" x14ac:dyDescent="0.25">
      <c r="A8" s="5">
        <v>46067</v>
      </c>
      <c r="B8" s="3" t="s">
        <v>17</v>
      </c>
      <c r="C8" s="3" t="s">
        <v>24</v>
      </c>
      <c r="D8" s="3" t="s">
        <v>21</v>
      </c>
      <c r="E8" s="3">
        <v>6</v>
      </c>
      <c r="F8" s="4">
        <v>2500</v>
      </c>
      <c r="G8" s="4">
        <v>1500</v>
      </c>
      <c r="H8" s="4">
        <v>15000</v>
      </c>
      <c r="I8" s="4">
        <v>9000</v>
      </c>
      <c r="J8" s="4">
        <v>6000</v>
      </c>
      <c r="K8" s="3" t="s">
        <v>22</v>
      </c>
    </row>
    <row r="9" spans="1:13" x14ac:dyDescent="0.25">
      <c r="A9" s="5">
        <v>46074</v>
      </c>
      <c r="B9" s="3" t="s">
        <v>19</v>
      </c>
      <c r="C9" s="3" t="s">
        <v>18</v>
      </c>
      <c r="D9" s="3" t="s">
        <v>13</v>
      </c>
      <c r="E9" s="3">
        <v>9</v>
      </c>
      <c r="F9" s="4">
        <v>900</v>
      </c>
      <c r="G9" s="4">
        <v>500</v>
      </c>
      <c r="H9" s="4">
        <v>8100</v>
      </c>
      <c r="I9" s="4">
        <v>4500</v>
      </c>
      <c r="J9" s="4">
        <v>3600</v>
      </c>
      <c r="K9" s="3" t="s">
        <v>22</v>
      </c>
    </row>
    <row r="10" spans="1:13" x14ac:dyDescent="0.25">
      <c r="A10" s="5">
        <v>46083</v>
      </c>
      <c r="B10" s="3" t="s">
        <v>11</v>
      </c>
      <c r="C10" s="3" t="s">
        <v>20</v>
      </c>
      <c r="D10" s="3" t="s">
        <v>21</v>
      </c>
      <c r="E10" s="3">
        <v>4</v>
      </c>
      <c r="F10" s="4">
        <v>8500</v>
      </c>
      <c r="G10" s="4">
        <v>6200</v>
      </c>
      <c r="H10" s="4">
        <v>34000</v>
      </c>
      <c r="I10" s="4">
        <v>24800</v>
      </c>
      <c r="J10" s="4">
        <v>9200</v>
      </c>
      <c r="K10" s="3" t="s">
        <v>25</v>
      </c>
    </row>
    <row r="11" spans="1:13" x14ac:dyDescent="0.25">
      <c r="A11" s="5">
        <v>46090</v>
      </c>
      <c r="B11" s="3" t="s">
        <v>15</v>
      </c>
      <c r="C11" s="3" t="s">
        <v>12</v>
      </c>
      <c r="D11" s="3" t="s">
        <v>13</v>
      </c>
      <c r="E11" s="3">
        <v>7</v>
      </c>
      <c r="F11" s="4">
        <v>1200</v>
      </c>
      <c r="G11" s="4">
        <v>700</v>
      </c>
      <c r="H11" s="4">
        <v>8400</v>
      </c>
      <c r="I11" s="4">
        <v>4900</v>
      </c>
      <c r="J11" s="4">
        <v>3500</v>
      </c>
      <c r="K11" s="3" t="s">
        <v>25</v>
      </c>
    </row>
    <row r="12" spans="1:13" x14ac:dyDescent="0.25">
      <c r="A12" s="5">
        <v>46096</v>
      </c>
      <c r="B12" s="3" t="s">
        <v>17</v>
      </c>
      <c r="C12" s="3" t="s">
        <v>23</v>
      </c>
      <c r="D12" s="3" t="s">
        <v>21</v>
      </c>
      <c r="E12" s="3">
        <v>1</v>
      </c>
      <c r="F12" s="4">
        <v>42000</v>
      </c>
      <c r="G12" s="4">
        <v>34000</v>
      </c>
      <c r="H12" s="4">
        <v>42000</v>
      </c>
      <c r="I12" s="4">
        <v>34000</v>
      </c>
      <c r="J12" s="4">
        <v>8000</v>
      </c>
      <c r="K12" s="3" t="s">
        <v>25</v>
      </c>
    </row>
    <row r="13" spans="1:13" x14ac:dyDescent="0.25">
      <c r="A13" s="5">
        <v>46103</v>
      </c>
      <c r="B13" s="3" t="s">
        <v>19</v>
      </c>
      <c r="C13" s="3" t="s">
        <v>16</v>
      </c>
      <c r="D13" s="3" t="s">
        <v>13</v>
      </c>
      <c r="E13" s="3">
        <v>15</v>
      </c>
      <c r="F13" s="4">
        <v>600</v>
      </c>
      <c r="G13" s="4">
        <v>320</v>
      </c>
      <c r="H13" s="4">
        <v>9000</v>
      </c>
      <c r="I13" s="4">
        <v>4800</v>
      </c>
      <c r="J13" s="4">
        <v>4200</v>
      </c>
      <c r="K13" s="3" t="s">
        <v>25</v>
      </c>
    </row>
    <row r="14" spans="1:13" x14ac:dyDescent="0.25">
      <c r="A14" s="5">
        <v>46116</v>
      </c>
      <c r="B14" s="3" t="s">
        <v>11</v>
      </c>
      <c r="C14" s="3" t="s">
        <v>24</v>
      </c>
      <c r="D14" s="3" t="s">
        <v>21</v>
      </c>
      <c r="E14" s="3">
        <v>8</v>
      </c>
      <c r="F14" s="4">
        <v>2500</v>
      </c>
      <c r="G14" s="4">
        <v>1500</v>
      </c>
      <c r="H14" s="4">
        <v>20000</v>
      </c>
      <c r="I14" s="4">
        <v>12000</v>
      </c>
      <c r="J14" s="4">
        <v>8000</v>
      </c>
      <c r="K14" s="3" t="s">
        <v>26</v>
      </c>
    </row>
    <row r="15" spans="1:13" x14ac:dyDescent="0.25">
      <c r="A15" s="5">
        <v>46122</v>
      </c>
      <c r="B15" s="3" t="s">
        <v>15</v>
      </c>
      <c r="C15" s="3" t="s">
        <v>20</v>
      </c>
      <c r="D15" s="3" t="s">
        <v>21</v>
      </c>
      <c r="E15" s="3">
        <v>2</v>
      </c>
      <c r="F15" s="4">
        <v>8500</v>
      </c>
      <c r="G15" s="4">
        <v>6200</v>
      </c>
      <c r="H15" s="4">
        <v>17000</v>
      </c>
      <c r="I15" s="4">
        <v>12400</v>
      </c>
      <c r="J15" s="4">
        <v>4600</v>
      </c>
      <c r="K15" s="3" t="s">
        <v>26</v>
      </c>
    </row>
    <row r="16" spans="1:13" x14ac:dyDescent="0.25">
      <c r="A16" s="5">
        <v>46128</v>
      </c>
      <c r="B16" s="3" t="s">
        <v>17</v>
      </c>
      <c r="C16" s="3" t="s">
        <v>16</v>
      </c>
      <c r="D16" s="3" t="s">
        <v>13</v>
      </c>
      <c r="E16" s="3">
        <v>11</v>
      </c>
      <c r="F16" s="4">
        <v>600</v>
      </c>
      <c r="G16" s="4">
        <v>320</v>
      </c>
      <c r="H16" s="4">
        <v>6600</v>
      </c>
      <c r="I16" s="4">
        <v>3520</v>
      </c>
      <c r="J16" s="4">
        <v>3080</v>
      </c>
      <c r="K16" s="3" t="s">
        <v>26</v>
      </c>
    </row>
    <row r="17" spans="1:11" x14ac:dyDescent="0.25">
      <c r="A17" s="5">
        <v>46136</v>
      </c>
      <c r="B17" s="3" t="s">
        <v>19</v>
      </c>
      <c r="C17" s="3" t="s">
        <v>23</v>
      </c>
      <c r="D17" s="3" t="s">
        <v>21</v>
      </c>
      <c r="E17" s="3">
        <v>2</v>
      </c>
      <c r="F17" s="4">
        <v>42000</v>
      </c>
      <c r="G17" s="4">
        <v>34000</v>
      </c>
      <c r="H17" s="4">
        <v>84000</v>
      </c>
      <c r="I17" s="4">
        <v>68000</v>
      </c>
      <c r="J17" s="4">
        <v>16000</v>
      </c>
      <c r="K17" s="3" t="s">
        <v>26</v>
      </c>
    </row>
    <row r="18" spans="1:11" x14ac:dyDescent="0.25">
      <c r="A18" s="5">
        <v>46145</v>
      </c>
      <c r="B18" s="3" t="s">
        <v>11</v>
      </c>
      <c r="C18" s="3" t="s">
        <v>18</v>
      </c>
      <c r="D18" s="3" t="s">
        <v>13</v>
      </c>
      <c r="E18" s="3">
        <v>10</v>
      </c>
      <c r="F18" s="4">
        <v>900</v>
      </c>
      <c r="G18" s="4">
        <v>500</v>
      </c>
      <c r="H18" s="4">
        <v>9000</v>
      </c>
      <c r="I18" s="4">
        <v>5000</v>
      </c>
      <c r="J18" s="4">
        <v>4000</v>
      </c>
      <c r="K18" s="3" t="s">
        <v>27</v>
      </c>
    </row>
    <row r="19" spans="1:11" x14ac:dyDescent="0.25">
      <c r="A19" s="5">
        <v>46153</v>
      </c>
      <c r="B19" s="3" t="s">
        <v>15</v>
      </c>
      <c r="C19" s="3" t="s">
        <v>24</v>
      </c>
      <c r="D19" s="3" t="s">
        <v>21</v>
      </c>
      <c r="E19" s="3">
        <v>5</v>
      </c>
      <c r="F19" s="4">
        <v>2500</v>
      </c>
      <c r="G19" s="4">
        <v>1500</v>
      </c>
      <c r="H19" s="4">
        <v>12500</v>
      </c>
      <c r="I19" s="4">
        <v>7500</v>
      </c>
      <c r="J19" s="4">
        <v>5000</v>
      </c>
      <c r="K19" s="3" t="s">
        <v>27</v>
      </c>
    </row>
    <row r="20" spans="1:11" x14ac:dyDescent="0.25">
      <c r="A20" s="5">
        <v>46159</v>
      </c>
      <c r="B20" s="3" t="s">
        <v>17</v>
      </c>
      <c r="C20" s="3" t="s">
        <v>20</v>
      </c>
      <c r="D20" s="3" t="s">
        <v>21</v>
      </c>
      <c r="E20" s="3">
        <v>3</v>
      </c>
      <c r="F20" s="4">
        <v>8500</v>
      </c>
      <c r="G20" s="4">
        <v>6200</v>
      </c>
      <c r="H20" s="4">
        <v>25500</v>
      </c>
      <c r="I20" s="4">
        <v>18600</v>
      </c>
      <c r="J20" s="4">
        <v>6900</v>
      </c>
      <c r="K20" s="3" t="s">
        <v>27</v>
      </c>
    </row>
    <row r="21" spans="1:11" x14ac:dyDescent="0.25">
      <c r="A21" s="5">
        <v>46167</v>
      </c>
      <c r="B21" s="3" t="s">
        <v>19</v>
      </c>
      <c r="C21" s="3" t="s">
        <v>12</v>
      </c>
      <c r="D21" s="3" t="s">
        <v>13</v>
      </c>
      <c r="E21" s="3">
        <v>6</v>
      </c>
      <c r="F21" s="4">
        <v>1200</v>
      </c>
      <c r="G21" s="4">
        <v>700</v>
      </c>
      <c r="H21" s="4">
        <v>7200</v>
      </c>
      <c r="I21" s="4">
        <v>4200</v>
      </c>
      <c r="J21" s="4">
        <v>3000</v>
      </c>
      <c r="K21" s="3" t="s">
        <v>27</v>
      </c>
    </row>
    <row r="22" spans="1:11" x14ac:dyDescent="0.25">
      <c r="A22" s="5">
        <v>46175</v>
      </c>
      <c r="B22" s="3" t="s">
        <v>11</v>
      </c>
      <c r="C22" s="3" t="s">
        <v>23</v>
      </c>
      <c r="D22" s="3" t="s">
        <v>21</v>
      </c>
      <c r="E22" s="3">
        <v>1</v>
      </c>
      <c r="F22" s="4">
        <v>42000</v>
      </c>
      <c r="G22" s="4">
        <v>34000</v>
      </c>
      <c r="H22" s="4">
        <v>42000</v>
      </c>
      <c r="I22" s="4">
        <v>34000</v>
      </c>
      <c r="J22" s="4">
        <v>8000</v>
      </c>
      <c r="K22" s="3" t="s">
        <v>28</v>
      </c>
    </row>
    <row r="23" spans="1:11" x14ac:dyDescent="0.25">
      <c r="A23" s="5">
        <v>46182</v>
      </c>
      <c r="B23" s="3" t="s">
        <v>15</v>
      </c>
      <c r="C23" s="3" t="s">
        <v>16</v>
      </c>
      <c r="D23" s="3" t="s">
        <v>13</v>
      </c>
      <c r="E23" s="3">
        <v>14</v>
      </c>
      <c r="F23" s="4">
        <v>600</v>
      </c>
      <c r="G23" s="4">
        <v>320</v>
      </c>
      <c r="H23" s="4">
        <v>8400</v>
      </c>
      <c r="I23" s="4">
        <v>4480</v>
      </c>
      <c r="J23" s="4">
        <v>3920</v>
      </c>
      <c r="K23" s="3" t="s">
        <v>28</v>
      </c>
    </row>
    <row r="24" spans="1:11" x14ac:dyDescent="0.25">
      <c r="A24" s="5">
        <v>46188</v>
      </c>
      <c r="B24" s="3" t="s">
        <v>17</v>
      </c>
      <c r="C24" s="3" t="s">
        <v>24</v>
      </c>
      <c r="D24" s="3" t="s">
        <v>21</v>
      </c>
      <c r="E24" s="3">
        <v>7</v>
      </c>
      <c r="F24" s="4">
        <v>2500</v>
      </c>
      <c r="G24" s="4">
        <v>1500</v>
      </c>
      <c r="H24" s="4">
        <v>17500</v>
      </c>
      <c r="I24" s="4">
        <v>10500</v>
      </c>
      <c r="J24" s="4">
        <v>7000</v>
      </c>
      <c r="K24" s="3" t="s">
        <v>28</v>
      </c>
    </row>
    <row r="25" spans="1:11" x14ac:dyDescent="0.25">
      <c r="A25" s="5">
        <v>46196</v>
      </c>
      <c r="B25" s="3" t="s">
        <v>19</v>
      </c>
      <c r="C25" s="3" t="s">
        <v>20</v>
      </c>
      <c r="D25" s="3" t="s">
        <v>21</v>
      </c>
      <c r="E25" s="3">
        <v>2</v>
      </c>
      <c r="F25" s="4">
        <v>8500</v>
      </c>
      <c r="G25" s="4">
        <v>6200</v>
      </c>
      <c r="H25" s="4">
        <v>17000</v>
      </c>
      <c r="I25" s="4">
        <v>12400</v>
      </c>
      <c r="J25" s="4">
        <v>4600</v>
      </c>
      <c r="K25" s="3" t="s">
        <v>28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BY REGION</vt:lpstr>
      <vt:lpstr>SALES BY PRODUCT</vt:lpstr>
      <vt:lpstr>SALES BY MONTH</vt:lpstr>
      <vt:lpstr>dashboardsales</vt:lpstr>
      <vt:lpstr>BUSINESS INSIGHTS</vt:lpstr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2026-10-15T05:29:43Z</dcterms:created>
  <dcterms:modified xsi:type="dcterms:W3CDTF">2026-10-15T07:35:39Z</dcterms:modified>
</cp:coreProperties>
</file>